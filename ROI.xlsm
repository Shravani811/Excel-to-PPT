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mukka\OneDrive - Capgemini\Desktop\Macros_PPT\New folder\"/>
    </mc:Choice>
  </mc:AlternateContent>
  <bookViews>
    <workbookView xWindow="-110" yWindow="-110" windowWidth="23260" windowHeight="12720"/>
  </bookViews>
  <sheets>
    <sheet name="ROI" sheetId="1" r:id="rId1"/>
    <sheet name="Path" sheetId="2" r:id="rId2"/>
  </sheets>
  <functionGroups builtInGroupCount="18"/>
  <externalReferences>
    <externalReference r:id="rId3"/>
    <externalReference r:id="rId4"/>
  </externalReferences>
  <definedNames>
    <definedName name="dealterm">[1]CALCULATION!$A$1</definedName>
    <definedName name="deployment">'[2]Cost Worksheet'!$Q$5:$R$5</definedName>
    <definedName name="variant">'[2]Cost Worksheet'!$Q$7:$S$7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E6" i="1" l="1"/>
  <c r="E14" i="1"/>
  <c r="V21" i="1" l="1"/>
  <c r="U21" i="1"/>
  <c r="T21" i="1"/>
  <c r="N21" i="1"/>
  <c r="M21" i="1"/>
  <c r="J21" i="1"/>
  <c r="I21" i="1"/>
  <c r="H21" i="1"/>
  <c r="G21" i="1"/>
  <c r="F21" i="1"/>
  <c r="K20" i="1"/>
  <c r="E20" i="1"/>
  <c r="K19" i="1"/>
  <c r="E19" i="1"/>
  <c r="O18" i="1"/>
  <c r="O21" i="1" s="1"/>
  <c r="L18" i="1"/>
  <c r="K18" i="1"/>
  <c r="E18" i="1"/>
  <c r="K17" i="1"/>
  <c r="E17" i="1"/>
  <c r="K16" i="1"/>
  <c r="E16" i="1"/>
  <c r="Q15" i="1"/>
  <c r="X15" i="1" s="1"/>
  <c r="P15" i="1"/>
  <c r="P16" i="1" s="1"/>
  <c r="L15" i="1"/>
  <c r="L16" i="1" s="1"/>
  <c r="K15" i="1"/>
  <c r="E15" i="1"/>
  <c r="Q14" i="1"/>
  <c r="P14" i="1"/>
  <c r="R14" i="1" s="1"/>
  <c r="L14" i="1"/>
  <c r="K14" i="1"/>
  <c r="K13" i="1"/>
  <c r="E13" i="1"/>
  <c r="K12" i="1"/>
  <c r="E12" i="1"/>
  <c r="K11" i="1"/>
  <c r="E11" i="1"/>
  <c r="K10" i="1"/>
  <c r="E10" i="1"/>
  <c r="K9" i="1"/>
  <c r="E9" i="1"/>
  <c r="K8" i="1"/>
  <c r="E8" i="1"/>
  <c r="K7" i="1"/>
  <c r="E7" i="1"/>
  <c r="Q6" i="1"/>
  <c r="Q18" i="1" s="1"/>
  <c r="X18" i="1" s="1"/>
  <c r="P6" i="1"/>
  <c r="P18" i="1" s="1"/>
  <c r="L6" i="1"/>
  <c r="K6" i="1"/>
  <c r="X2" i="1"/>
  <c r="W2" i="1"/>
  <c r="V2" i="1"/>
  <c r="U2" i="1"/>
  <c r="T2" i="1"/>
  <c r="K2" i="1"/>
  <c r="J2" i="1"/>
  <c r="I2" i="1"/>
  <c r="H2" i="1"/>
  <c r="G2" i="1"/>
  <c r="F2" i="1"/>
  <c r="C2" i="1"/>
  <c r="B2" i="1"/>
  <c r="D2" i="1"/>
  <c r="X14" i="1" l="1"/>
  <c r="L21" i="1"/>
  <c r="K21" i="1"/>
  <c r="E21" i="1"/>
  <c r="E23" i="1" s="1"/>
  <c r="R18" i="1"/>
  <c r="W18" i="1"/>
  <c r="S18" i="1" s="1"/>
  <c r="W16" i="1"/>
  <c r="Q16" i="1"/>
  <c r="X16" i="1" s="1"/>
  <c r="P21" i="1"/>
  <c r="W14" i="1"/>
  <c r="S14" i="1" s="1"/>
  <c r="W6" i="1"/>
  <c r="W15" i="1"/>
  <c r="S15" i="1" s="1"/>
  <c r="R6" i="1"/>
  <c r="R15" i="1"/>
  <c r="X6" i="1"/>
  <c r="X21" i="1" s="1"/>
  <c r="Q21" i="1" l="1"/>
  <c r="S16" i="1"/>
  <c r="R16" i="1"/>
  <c r="R21" i="1" s="1"/>
  <c r="S6" i="1"/>
  <c r="W21" i="1"/>
  <c r="S21" i="1" l="1"/>
  <c r="E26" i="1" s="1"/>
  <c r="E25" i="1"/>
</calcChain>
</file>

<file path=xl/sharedStrings.xml><?xml version="1.0" encoding="utf-8"?>
<sst xmlns="http://schemas.openxmlformats.org/spreadsheetml/2006/main" count="55" uniqueCount="41">
  <si>
    <t>Split %</t>
  </si>
  <si>
    <t>Cost Consider Factor</t>
  </si>
  <si>
    <t>COST</t>
  </si>
  <si>
    <t>FTE Savings</t>
  </si>
  <si>
    <t>$ Savings</t>
  </si>
  <si>
    <t>Lever</t>
  </si>
  <si>
    <t>Total</t>
  </si>
  <si>
    <t>Y1</t>
  </si>
  <si>
    <t>Y2</t>
  </si>
  <si>
    <t>Y3</t>
  </si>
  <si>
    <t>Y4</t>
  </si>
  <si>
    <t>Y5</t>
  </si>
  <si>
    <t>Check</t>
  </si>
  <si>
    <t>CIAP</t>
  </si>
  <si>
    <t>Automaiton</t>
  </si>
  <si>
    <t>Automation CoE</t>
  </si>
  <si>
    <t>CIAP License (Onprem)</t>
  </si>
  <si>
    <t>CIAP Setup</t>
  </si>
  <si>
    <t>CIAP Run</t>
  </si>
  <si>
    <t>RPA License</t>
  </si>
  <si>
    <t>RPA Build</t>
  </si>
  <si>
    <t>ITPA Jenkins Build</t>
  </si>
  <si>
    <t>Automation Run</t>
  </si>
  <si>
    <t>Tools</t>
  </si>
  <si>
    <t>IKON</t>
  </si>
  <si>
    <t>ROOCA</t>
  </si>
  <si>
    <t>AIOPS</t>
  </si>
  <si>
    <t>AIOPS Setup</t>
  </si>
  <si>
    <t>AIOPs Run</t>
  </si>
  <si>
    <t>Chatbot</t>
  </si>
  <si>
    <t>Chatbot Build</t>
  </si>
  <si>
    <t>Chatbot Run</t>
  </si>
  <si>
    <t>Knowledge Academy</t>
  </si>
  <si>
    <t>Total Cost</t>
  </si>
  <si>
    <t>Total Saving</t>
  </si>
  <si>
    <t>Net Savings</t>
  </si>
  <si>
    <t>ROI</t>
  </si>
  <si>
    <t>Template File Path</t>
  </si>
  <si>
    <t>Output File Path</t>
  </si>
  <si>
    <t>C:\Users\shmukka\OneDrive - Capgemini\Desktop\Macros_PPT\Automation ROI Template SlideV1.pptx</t>
  </si>
  <si>
    <t>C:\Users\shmukka\OneDrive - Capgemini\Desktop\Macros_PPT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</si>
</sst>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??_);_(@_)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Ubuntu"/>
      <family val="2"/>
    </font>
    <font>
      <b/>
      <sz val="9"/>
      <color theme="1"/>
      <name val="Ubuntu"/>
      <family val="2"/>
    </font>
    <font>
      <b/>
      <sz val="11"/>
      <color theme="1"/>
      <name val="Ubuntu"/>
      <family val="2"/>
    </font>
    <font>
      <sz val="9"/>
      <color rgb="FF000000"/>
      <name val="Ubuntu"/>
      <family val="2"/>
    </font>
    <font>
      <b/>
      <sz val="9"/>
      <color rgb="FF000000"/>
      <name val="Ubuntu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9" fontId="2" fillId="0" borderId="0" xfId="0" applyNumberFormat="1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right"/>
    </xf>
    <xf numFmtId="10" fontId="3" fillId="3" borderId="1" xfId="0" applyNumberFormat="1" applyFont="1" applyFill="1" applyBorder="1"/>
    <xf numFmtId="10" fontId="3" fillId="0" borderId="1" xfId="0" applyNumberFormat="1" applyFont="1" applyBorder="1"/>
    <xf numFmtId="0" fontId="2" fillId="0" borderId="1" xfId="0" applyFont="1" applyBorder="1"/>
    <xf numFmtId="0" fontId="3" fillId="0" borderId="0" xfId="0" applyFont="1"/>
    <xf numFmtId="10" fontId="3" fillId="0" borderId="0" xfId="0" applyNumberFormat="1" applyFont="1"/>
    <xf numFmtId="0" fontId="4" fillId="0" borderId="0" xfId="0" applyFont="1"/>
    <xf numFmtId="0" fontId="3" fillId="4" borderId="1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right" vertical="center" wrapText="1"/>
    </xf>
    <xf numFmtId="0" fontId="5" fillId="0" borderId="1" xfId="0" applyFont="1" applyBorder="1" applyAlignment="1">
      <alignment horizontal="left" vertical="center" wrapText="1" readingOrder="1"/>
    </xf>
    <xf numFmtId="165" fontId="5" fillId="0" borderId="1" xfId="1" applyNumberFormat="1" applyFont="1" applyFill="1" applyBorder="1" applyAlignment="1">
      <alignment horizontal="right" wrapText="1" readingOrder="1"/>
    </xf>
    <xf numFmtId="165" fontId="5" fillId="0" borderId="1" xfId="1" applyNumberFormat="1" applyFont="1" applyBorder="1" applyAlignment="1">
      <alignment horizontal="right" wrapText="1" readingOrder="1"/>
    </xf>
    <xf numFmtId="0" fontId="5" fillId="0" borderId="1" xfId="0" applyFont="1" applyBorder="1" applyAlignment="1">
      <alignment vertical="center" wrapText="1" readingOrder="1"/>
    </xf>
    <xf numFmtId="2" fontId="2" fillId="4" borderId="1" xfId="0" applyNumberFormat="1" applyFont="1" applyFill="1" applyBorder="1" applyAlignment="1">
      <alignment horizontal="right"/>
    </xf>
    <xf numFmtId="2" fontId="2" fillId="5" borderId="1" xfId="0" applyNumberFormat="1" applyFont="1" applyFill="1" applyBorder="1" applyAlignment="1">
      <alignment horizontal="right"/>
    </xf>
    <xf numFmtId="165" fontId="2" fillId="4" borderId="1" xfId="1" applyNumberFormat="1" applyFont="1" applyFill="1" applyBorder="1" applyAlignment="1">
      <alignment vertical="center"/>
    </xf>
    <xf numFmtId="165" fontId="2" fillId="5" borderId="1" xfId="1" applyNumberFormat="1" applyFont="1" applyFill="1" applyBorder="1" applyAlignment="1">
      <alignment horizontal="right" vertical="center"/>
    </xf>
    <xf numFmtId="165" fontId="2" fillId="5" borderId="1" xfId="1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right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2" fontId="2" fillId="5" borderId="1" xfId="0" applyNumberFormat="1" applyFont="1" applyFill="1" applyBorder="1" applyAlignment="1">
      <alignment horizontal="center"/>
    </xf>
    <xf numFmtId="165" fontId="3" fillId="0" borderId="1" xfId="1" applyNumberFormat="1" applyFont="1" applyBorder="1" applyAlignment="1">
      <alignment horizontal="right"/>
    </xf>
    <xf numFmtId="165" fontId="6" fillId="0" borderId="1" xfId="1" applyNumberFormat="1" applyFont="1" applyBorder="1" applyAlignment="1">
      <alignment horizontal="right" wrapText="1" readingOrder="1"/>
    </xf>
    <xf numFmtId="0" fontId="3" fillId="4" borderId="1" xfId="0" applyFont="1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165" fontId="3" fillId="4" borderId="1" xfId="1" applyNumberFormat="1" applyFont="1" applyFill="1" applyBorder="1" applyAlignment="1">
      <alignment vertical="center"/>
    </xf>
    <xf numFmtId="0" fontId="2" fillId="0" borderId="0" xfId="0" applyFont="1" applyAlignment="1">
      <alignment horizontal="right"/>
    </xf>
    <xf numFmtId="165" fontId="2" fillId="0" borderId="0" xfId="1" applyNumberFormat="1" applyFont="1" applyFill="1" applyAlignment="1">
      <alignment horizontal="right"/>
    </xf>
    <xf numFmtId="165" fontId="2" fillId="0" borderId="1" xfId="0" applyNumberFormat="1" applyFont="1" applyBorder="1" applyAlignment="1">
      <alignment vertical="center"/>
    </xf>
    <xf numFmtId="165" fontId="2" fillId="0" borderId="1" xfId="1" applyNumberFormat="1" applyFont="1" applyFill="1" applyBorder="1" applyAlignment="1">
      <alignment vertical="center"/>
    </xf>
    <xf numFmtId="2" fontId="2" fillId="0" borderId="0" xfId="2" applyNumberFormat="1" applyFont="1" applyFill="1" applyBorder="1" applyAlignment="1">
      <alignment horizontal="right"/>
    </xf>
    <xf numFmtId="0" fontId="3" fillId="0" borderId="1" xfId="0" applyFont="1" applyBorder="1"/>
    <xf numFmtId="2" fontId="3" fillId="6" borderId="1" xfId="2" applyNumberFormat="1" applyFont="1" applyFill="1" applyBorder="1" applyAlignment="1">
      <alignment horizontal="center" vertical="center"/>
    </xf>
    <xf numFmtId="164" fontId="2" fillId="0" borderId="0" xfId="0" applyNumberFormat="1" applyFont="1"/>
    <xf numFmtId="1" fontId="5" fillId="0" borderId="1" xfId="1" applyNumberFormat="1" applyFont="1" applyFill="1" applyBorder="1" applyAlignment="1">
      <alignment horizontal="right" wrapText="1" readingOrder="1"/>
    </xf>
    <xf numFmtId="165" fontId="5" fillId="5" borderId="4" xfId="1" applyNumberFormat="1" applyFont="1" applyFill="1" applyBorder="1" applyAlignment="1">
      <alignment horizontal="right" vertical="center" wrapText="1" readingOrder="1"/>
    </xf>
    <xf numFmtId="165" fontId="5" fillId="5" borderId="5" xfId="1" applyNumberFormat="1" applyFont="1" applyFill="1" applyBorder="1" applyAlignment="1">
      <alignment horizontal="right" vertical="center" wrapText="1" readingOrder="1"/>
    </xf>
    <xf numFmtId="165" fontId="5" fillId="5" borderId="2" xfId="1" applyNumberFormat="1" applyFont="1" applyFill="1" applyBorder="1" applyAlignment="1">
      <alignment horizontal="right" vertical="center" wrapText="1" readingOrder="1"/>
    </xf>
    <xf numFmtId="0" fontId="4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6" fontId="5" fillId="4" borderId="4" xfId="0" applyNumberFormat="1" applyFont="1" applyFill="1" applyBorder="1" applyAlignment="1">
      <alignment horizontal="right" vertical="center" wrapText="1" readingOrder="1"/>
    </xf>
    <xf numFmtId="166" fontId="5" fillId="4" borderId="5" xfId="0" applyNumberFormat="1" applyFont="1" applyFill="1" applyBorder="1" applyAlignment="1">
      <alignment horizontal="right" vertical="center" wrapText="1" readingOrder="1"/>
    </xf>
    <xf numFmtId="166" fontId="5" fillId="4" borderId="2" xfId="0" applyNumberFormat="1" applyFont="1" applyFill="1" applyBorder="1" applyAlignment="1">
      <alignment horizontal="right" vertical="center" wrapText="1" readingOrder="1"/>
    </xf>
    <xf numFmtId="2" fontId="5" fillId="5" borderId="4" xfId="0" applyNumberFormat="1" applyFont="1" applyFill="1" applyBorder="1" applyAlignment="1">
      <alignment horizontal="right" vertical="center" wrapText="1" readingOrder="1"/>
    </xf>
    <xf numFmtId="2" fontId="5" fillId="5" borderId="5" xfId="0" applyNumberFormat="1" applyFont="1" applyFill="1" applyBorder="1" applyAlignment="1">
      <alignment horizontal="right" vertical="center" wrapText="1" readingOrder="1"/>
    </xf>
    <xf numFmtId="2" fontId="5" fillId="5" borderId="2" xfId="0" applyNumberFormat="1" applyFont="1" applyFill="1" applyBorder="1" applyAlignment="1">
      <alignment horizontal="right" vertical="center" wrapText="1" readingOrder="1"/>
    </xf>
    <xf numFmtId="165" fontId="2" fillId="5" borderId="4" xfId="1" applyNumberFormat="1" applyFont="1" applyFill="1" applyBorder="1" applyAlignment="1">
      <alignment vertical="center"/>
    </xf>
    <xf numFmtId="165" fontId="2" fillId="5" borderId="2" xfId="1" applyNumberFormat="1" applyFont="1" applyFill="1" applyBorder="1" applyAlignment="1">
      <alignment vertical="center"/>
    </xf>
    <xf numFmtId="165" fontId="5" fillId="5" borderId="4" xfId="1" applyNumberFormat="1" applyFont="1" applyFill="1" applyBorder="1" applyAlignment="1">
      <alignment vertical="center" wrapText="1" readingOrder="1"/>
    </xf>
    <xf numFmtId="165" fontId="5" fillId="5" borderId="5" xfId="1" applyNumberFormat="1" applyFont="1" applyFill="1" applyBorder="1" applyAlignment="1">
      <alignment vertical="center" wrapText="1" readingOrder="1"/>
    </xf>
    <xf numFmtId="165" fontId="5" fillId="5" borderId="2" xfId="1" applyNumberFormat="1" applyFont="1" applyFill="1" applyBorder="1" applyAlignment="1">
      <alignment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1" fontId="2" fillId="4" borderId="4" xfId="0" applyNumberFormat="1" applyFont="1" applyFill="1" applyBorder="1" applyAlignment="1">
      <alignment horizontal="right" vertical="center"/>
    </xf>
    <xf numFmtId="1" fontId="2" fillId="4" borderId="2" xfId="0" applyNumberFormat="1" applyFont="1" applyFill="1" applyBorder="1" applyAlignment="1">
      <alignment horizontal="right" vertical="center"/>
    </xf>
    <xf numFmtId="2" fontId="2" fillId="5" borderId="4" xfId="0" applyNumberFormat="1" applyFont="1" applyFill="1" applyBorder="1" applyAlignment="1">
      <alignment horizontal="right" vertical="center"/>
    </xf>
    <xf numFmtId="2" fontId="2" fillId="5" borderId="2" xfId="0" applyNumberFormat="1" applyFont="1" applyFill="1" applyBorder="1" applyAlignment="1">
      <alignment horizontal="right" vertical="center"/>
    </xf>
    <xf numFmtId="166" fontId="5" fillId="5" borderId="4" xfId="0" applyNumberFormat="1" applyFont="1" applyFill="1" applyBorder="1" applyAlignment="1">
      <alignment horizontal="right" vertical="center" wrapText="1" readingOrder="1"/>
    </xf>
    <xf numFmtId="166" fontId="5" fillId="5" borderId="5" xfId="0" applyNumberFormat="1" applyFont="1" applyFill="1" applyBorder="1" applyAlignment="1">
      <alignment horizontal="right" vertical="center" wrapText="1" readingOrder="1"/>
    </xf>
    <xf numFmtId="166" fontId="5" fillId="5" borderId="2" xfId="0" applyNumberFormat="1" applyFont="1" applyFill="1" applyBorder="1" applyAlignment="1">
      <alignment horizontal="right" vertical="center" wrapText="1" readingOrder="1"/>
    </xf>
    <xf numFmtId="165" fontId="5" fillId="4" borderId="4" xfId="1" applyNumberFormat="1" applyFont="1" applyFill="1" applyBorder="1" applyAlignment="1">
      <alignment vertical="center" wrapText="1" readingOrder="1"/>
    </xf>
    <xf numFmtId="165" fontId="5" fillId="4" borderId="5" xfId="1" applyNumberFormat="1" applyFont="1" applyFill="1" applyBorder="1" applyAlignment="1">
      <alignment vertical="center" wrapText="1" readingOrder="1"/>
    </xf>
    <xf numFmtId="165" fontId="5" fillId="4" borderId="2" xfId="1" applyNumberFormat="1" applyFont="1" applyFill="1" applyBorder="1" applyAlignment="1">
      <alignment vertical="center" wrapText="1" readingOrder="1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right" vertical="center"/>
    </xf>
    <xf numFmtId="165" fontId="2" fillId="4" borderId="4" xfId="1" applyNumberFormat="1" applyFont="1" applyFill="1" applyBorder="1" applyAlignment="1">
      <alignment vertical="center"/>
    </xf>
    <xf numFmtId="165" fontId="2" fillId="4" borderId="2" xfId="1" applyNumberFormat="1" applyFont="1" applyFill="1" applyBorder="1" applyAlignment="1">
      <alignment vertical="center"/>
    </xf>
    <xf numFmtId="165" fontId="2" fillId="5" borderId="4" xfId="1" applyNumberFormat="1" applyFont="1" applyFill="1" applyBorder="1" applyAlignment="1">
      <alignment horizontal="center" vertical="center"/>
    </xf>
    <xf numFmtId="165" fontId="2" fillId="5" borderId="2" xfId="1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4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23</xdr:row>
          <xdr:rowOff>12700</xdr:rowOff>
        </xdr:from>
        <xdr:to>
          <xdr:col>7</xdr:col>
          <xdr:colOff>298450</xdr:colOff>
          <xdr:row>25</xdr:row>
          <xdr:rowOff>6350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pgemini-my.sharepoint.com/Users/arkumar/Desktop/Automation/111%20Proposal%20Related/111%202021/CSL/DealReviewPackage_Project%20Shape_Derisk%20transition_field%20services%20revised%20(ID%2041289%20v54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pgemini-my.sharepoint.com/personal/shravani_mukka_capgemini_com/Documents/Desktop/Macros_PPT/New%20folder/Automation%20&amp;%20Tools%20Costing%20v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Tab"/>
      <sheetName val="Deal Main Data"/>
      <sheetName val="Exception Reports"/>
      <sheetName val="Exception Impacts"/>
      <sheetName val="Bid Control Process"/>
      <sheetName val="Deal Dashboard"/>
      <sheetName val="Review Financials"/>
      <sheetName val="P&amp;L View"/>
      <sheetName val="Cash Flow Statement"/>
      <sheetName val="Invoicing &amp; Contractual DOR"/>
      <sheetName val="By Performance Obligation"/>
      <sheetName val="By Location"/>
      <sheetName val="By Country"/>
      <sheetName val="By Tower"/>
      <sheetName val="By Service"/>
      <sheetName val="By GBL-ABL"/>
      <sheetName val="(On-Off)Shore &amp; (In-Ex)tern"/>
      <sheetName val="By AdditionalTab"/>
      <sheetName val="By Service by Year"/>
      <sheetName val="FTEs"/>
      <sheetName val="Pyramid"/>
      <sheetName val="Pyramid–On-Offshore-Landed"/>
      <sheetName val="FTE Productivity"/>
      <sheetName val="Daily Blended Rate"/>
      <sheetName val="Daily Blended Cost"/>
      <sheetName val="Balance Sheet"/>
      <sheetName val="Change Log"/>
      <sheetName val="IFRS"/>
      <sheetName val="Cost Categories Details"/>
      <sheetName val="Revenue Categories Details"/>
      <sheetName val="Custom Cost Categories Deta"/>
      <sheetName val="P&amp;L View - Custom"/>
      <sheetName val="Invoicing and Margin"/>
      <sheetName val="Debt Schedule"/>
      <sheetName val="Custom Invoicing and Margin"/>
      <sheetName val="Performance Obligation Summ"/>
      <sheetName val="TemplateSheet"/>
      <sheetName val="By SBU"/>
      <sheetName val="IV - Invoicing"/>
      <sheetName val="IV - Direct Expenses"/>
      <sheetName val="IV - Margin"/>
      <sheetName val="IV - Margin (%)"/>
      <sheetName val="IV - Margin OR (%)"/>
      <sheetName val="AV - Revenue"/>
      <sheetName val="AV - Direct Expenses"/>
      <sheetName val="AV - CM"/>
      <sheetName val="AV - CM (%)"/>
      <sheetName val="AV - CM OR (%)"/>
      <sheetName val="AV - GOP"/>
      <sheetName val="AV - GOP (%)"/>
      <sheetName val="Pyramid by SBU Grade"/>
      <sheetName val="Days"/>
      <sheetName val="Hours"/>
      <sheetName val="Hourly Blended Rate"/>
      <sheetName val="Hourly Blended Cost"/>
      <sheetName val="Custom Daily Bl. Rate"/>
      <sheetName val="Custom Hourly Bl. Rate"/>
      <sheetName val="Custom Bl. Rate Setup"/>
      <sheetName val="FX Breakdown"/>
      <sheetName val="FX Cash View - Margin"/>
      <sheetName val="IV - Invoicing1D"/>
      <sheetName val="IV - Direct Expenses1D"/>
      <sheetName val="IV - Margin1D"/>
      <sheetName val="IV - Margin (%)1D"/>
      <sheetName val="IV - Margin OR (%)1D"/>
      <sheetName val="AV - Revenue1D"/>
      <sheetName val="AV - Direct Expenses1D"/>
      <sheetName val="AV - CM1D"/>
      <sheetName val="AV - CM (%)1D"/>
      <sheetName val="AV - CM OR (%)1D"/>
      <sheetName val="AV - GOP1D"/>
      <sheetName val="AV - GOP (%)1D"/>
      <sheetName val="FTEs1D"/>
      <sheetName val="FTE Productivity1D"/>
      <sheetName val="Days1D"/>
      <sheetName val="Hours1D"/>
      <sheetName val="Daily Blended Rate1D"/>
      <sheetName val="Hourly Blended Rate1D"/>
      <sheetName val="Daily Blended Cost1D"/>
      <sheetName val="Hourly Blended Cost1D"/>
      <sheetName val="Custom Daily Bl. Rate1D"/>
      <sheetName val="Custom Hourly Bl. Rate1D"/>
      <sheetName val="Pyramid1D"/>
      <sheetName val="Pyramid–On-Offshore-Landed1"/>
      <sheetName val="Staffing Plan"/>
      <sheetName val="Other Expenses"/>
      <sheetName val="Capital Expenditures"/>
      <sheetName val="Manual Pricing"/>
      <sheetName val="Prepaid Expenses"/>
      <sheetName val="Hidden Image"/>
      <sheetName val="Chart2"/>
      <sheetName val="CALCULATION"/>
      <sheetName val="EXPORTPP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1">
          <cell r="A1">
            <v>84</v>
          </cell>
        </row>
      </sheetData>
      <sheetData sheetId="9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heet"/>
      <sheetName val="Cost Worksheet"/>
      <sheetName val="ROI"/>
      <sheetName val="Build &amp; Run Staffing"/>
      <sheetName val="Productivity Reference"/>
      <sheetName val="Actual ROI for Engagements"/>
      <sheetName val="Sheet1"/>
    </sheetNames>
    <sheetDataSet>
      <sheetData sheetId="0">
        <row r="2">
          <cell r="L2">
            <v>0.98</v>
          </cell>
        </row>
        <row r="3">
          <cell r="L3">
            <v>0.02</v>
          </cell>
        </row>
        <row r="5">
          <cell r="D5">
            <v>0.06</v>
          </cell>
          <cell r="E5">
            <v>7.0000000000000007E-2</v>
          </cell>
          <cell r="F5">
            <v>0.03</v>
          </cell>
          <cell r="I5">
            <v>0.16</v>
          </cell>
          <cell r="L5">
            <v>0.8</v>
          </cell>
        </row>
        <row r="9">
          <cell r="G9">
            <v>0</v>
          </cell>
          <cell r="H9">
            <v>0</v>
          </cell>
          <cell r="I9">
            <v>13.860000000000001</v>
          </cell>
        </row>
        <row r="10">
          <cell r="G10">
            <v>0</v>
          </cell>
          <cell r="H10">
            <v>0</v>
          </cell>
          <cell r="I10">
            <v>5.9399999999999995</v>
          </cell>
        </row>
        <row r="11">
          <cell r="F11">
            <v>2.9699999999999998</v>
          </cell>
          <cell r="G11">
            <v>0</v>
          </cell>
          <cell r="H11">
            <v>0</v>
          </cell>
          <cell r="I11">
            <v>15.84</v>
          </cell>
        </row>
        <row r="14">
          <cell r="D14">
            <v>15</v>
          </cell>
        </row>
        <row r="15">
          <cell r="D15">
            <v>2064</v>
          </cell>
        </row>
      </sheetData>
      <sheetData sheetId="1">
        <row r="3">
          <cell r="C3" t="str">
            <v>VXi</v>
          </cell>
        </row>
        <row r="4">
          <cell r="C4" t="str">
            <v>Cloud</v>
          </cell>
        </row>
        <row r="5">
          <cell r="Q5" t="str">
            <v>Cloud</v>
          </cell>
          <cell r="R5" t="str">
            <v>Onprem</v>
          </cell>
        </row>
        <row r="6">
          <cell r="F6">
            <v>3</v>
          </cell>
        </row>
        <row r="7">
          <cell r="Q7" t="str">
            <v>LXi</v>
          </cell>
          <cell r="R7" t="str">
            <v>VXi</v>
          </cell>
          <cell r="S7" t="str">
            <v>ZXi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X28"/>
  <sheetViews>
    <sheetView tabSelected="1" topLeftCell="A6" zoomScaleNormal="100" workbookViewId="0">
      <selection activeCell="F24" sqref="F24"/>
    </sheetView>
  </sheetViews>
  <sheetFormatPr defaultColWidth="9.08984375" defaultRowHeight="11" x14ac:dyDescent="0.2"/>
  <cols>
    <col min="1" max="1" width="1.90625" style="1" customWidth="1"/>
    <col min="2" max="2" width="7.6328125" style="1" bestFit="1" customWidth="1"/>
    <col min="3" max="3" width="10.54296875" style="1" bestFit="1" customWidth="1"/>
    <col min="4" max="4" width="19.54296875" style="1" bestFit="1" customWidth="1"/>
    <col min="5" max="5" width="11" style="1" bestFit="1" customWidth="1"/>
    <col min="6" max="6" width="10.81640625" style="1" bestFit="1" customWidth="1"/>
    <col min="7" max="10" width="8.6328125" style="1" customWidth="1"/>
    <col min="11" max="11" width="10" style="1" bestFit="1" customWidth="1"/>
    <col min="12" max="12" width="5.54296875" style="1" bestFit="1" customWidth="1"/>
    <col min="13" max="16" width="5.453125" style="1" bestFit="1" customWidth="1"/>
    <col min="17" max="17" width="5.453125" style="1" customWidth="1"/>
    <col min="18" max="18" width="6" style="1" bestFit="1" customWidth="1"/>
    <col min="19" max="19" width="10.36328125" style="1" bestFit="1" customWidth="1"/>
    <col min="20" max="21" width="8.54296875" style="1" bestFit="1" customWidth="1"/>
    <col min="22" max="22" width="7.54296875" style="1" bestFit="1" customWidth="1"/>
    <col min="23" max="23" width="4.90625" style="1" bestFit="1" customWidth="1"/>
    <col min="24" max="24" width="10" style="1" bestFit="1" customWidth="1"/>
    <col min="25" max="16384" width="9.08984375" style="1"/>
  </cols>
  <sheetData>
    <row r="1" spans="2:24" x14ac:dyDescent="0.2">
      <c r="F1" s="2"/>
      <c r="G1" s="2"/>
      <c r="H1" s="2"/>
      <c r="I1" s="2"/>
      <c r="J1" s="2"/>
      <c r="K1" s="2"/>
      <c r="O1" s="16"/>
    </row>
    <row r="2" spans="2:24" ht="12.5" x14ac:dyDescent="0.3">
      <c r="B2" s="3" t="str">
        <f>'[2]Cost Worksheet'!$C$4</f>
        <v>Cloud</v>
      </c>
      <c r="C2" s="4" t="str">
        <f>'[2]Cost Worksheet'!$C$3</f>
        <v>VXi</v>
      </c>
      <c r="D2" s="4" t="e">
        <f ca="1">_xlfn.CONCAT('[2]Cost Worksheet'!F6, " Years")</f>
        <v>#NAME?</v>
      </c>
      <c r="E2" s="5" t="s">
        <v>0</v>
      </c>
      <c r="F2" s="6">
        <f>'[2]Data Sheet'!D5/'[2]Data Sheet'!$I$5</f>
        <v>0.375</v>
      </c>
      <c r="G2" s="6">
        <f>'[2]Data Sheet'!E5/'[2]Data Sheet'!$I$5</f>
        <v>0.43750000000000006</v>
      </c>
      <c r="H2" s="6">
        <f>'[2]Data Sheet'!F5/'[2]Data Sheet'!$I$5</f>
        <v>0.1875</v>
      </c>
      <c r="I2" s="6">
        <f>'[2]Data Sheet'!G5/'[2]Data Sheet'!$I$5</f>
        <v>0</v>
      </c>
      <c r="J2" s="6">
        <f>'[2]Data Sheet'!H5/'[2]Data Sheet'!$I$5</f>
        <v>0</v>
      </c>
      <c r="K2" s="7">
        <f>SUM(F2:J2)</f>
        <v>1</v>
      </c>
      <c r="Q2" s="8" t="s">
        <v>1</v>
      </c>
      <c r="R2" s="8"/>
      <c r="S2" s="8"/>
      <c r="T2" s="8">
        <f>'[2]Cost Worksheet'!$F$6-0.5</f>
        <v>2.5</v>
      </c>
      <c r="U2" s="8">
        <f>'[2]Cost Worksheet'!$F$6-1.5</f>
        <v>1.5</v>
      </c>
      <c r="V2" s="8">
        <f>IF('[2]Cost Worksheet'!$F$6-2.5&lt;0,0,'[2]Cost Worksheet'!$F$6-2.5)</f>
        <v>0.5</v>
      </c>
      <c r="W2" s="8">
        <f>IF('[2]Cost Worksheet'!$F$6-3.5&lt;0,0,'[2]Cost Worksheet'!$F$6-3.5)</f>
        <v>0</v>
      </c>
      <c r="X2" s="8">
        <f>IF('[2]Cost Worksheet'!$F$6-4.5&lt;0,0,'[2]Cost Worksheet'!$F$6-4.5)</f>
        <v>0</v>
      </c>
    </row>
    <row r="3" spans="2:24" ht="12.5" x14ac:dyDescent="0.3">
      <c r="E3" s="9"/>
      <c r="F3" s="10"/>
      <c r="G3" s="10"/>
      <c r="H3" s="10"/>
      <c r="I3" s="10"/>
      <c r="J3" s="10"/>
      <c r="K3" s="10"/>
    </row>
    <row r="4" spans="2:24" ht="14" x14ac:dyDescent="0.3">
      <c r="C4" s="11"/>
      <c r="D4" s="11"/>
      <c r="E4" s="45" t="s">
        <v>2</v>
      </c>
      <c r="F4" s="45"/>
      <c r="G4" s="45"/>
      <c r="H4" s="45"/>
      <c r="I4" s="45"/>
      <c r="J4" s="45"/>
      <c r="K4" s="45"/>
      <c r="L4" s="45" t="s">
        <v>3</v>
      </c>
      <c r="M4" s="45"/>
      <c r="N4" s="45"/>
      <c r="O4" s="45"/>
      <c r="P4" s="45"/>
      <c r="Q4" s="45"/>
      <c r="R4" s="45"/>
      <c r="S4" s="45" t="s">
        <v>4</v>
      </c>
      <c r="T4" s="45"/>
      <c r="U4" s="45"/>
      <c r="V4" s="45"/>
      <c r="W4" s="45"/>
      <c r="X4" s="45"/>
    </row>
    <row r="5" spans="2:24" ht="12.5" x14ac:dyDescent="0.2">
      <c r="D5" s="12" t="s">
        <v>5</v>
      </c>
      <c r="E5" s="13" t="s">
        <v>6</v>
      </c>
      <c r="F5" s="13" t="s">
        <v>7</v>
      </c>
      <c r="G5" s="13" t="s">
        <v>8</v>
      </c>
      <c r="H5" s="13" t="s">
        <v>9</v>
      </c>
      <c r="I5" s="13" t="s">
        <v>10</v>
      </c>
      <c r="J5" s="13" t="s">
        <v>11</v>
      </c>
      <c r="K5" s="13" t="s">
        <v>12</v>
      </c>
      <c r="L5" s="13" t="s">
        <v>6</v>
      </c>
      <c r="M5" s="13" t="s">
        <v>7</v>
      </c>
      <c r="N5" s="13" t="s">
        <v>8</v>
      </c>
      <c r="O5" s="13" t="s">
        <v>9</v>
      </c>
      <c r="P5" s="13" t="s">
        <v>10</v>
      </c>
      <c r="Q5" s="13" t="s">
        <v>11</v>
      </c>
      <c r="R5" s="13" t="s">
        <v>12</v>
      </c>
      <c r="S5" s="13" t="s">
        <v>6</v>
      </c>
      <c r="T5" s="13" t="s">
        <v>7</v>
      </c>
      <c r="U5" s="13" t="s">
        <v>8</v>
      </c>
      <c r="V5" s="13" t="s">
        <v>9</v>
      </c>
      <c r="W5" s="13" t="s">
        <v>10</v>
      </c>
      <c r="X5" s="13" t="s">
        <v>11</v>
      </c>
    </row>
    <row r="6" spans="2:24" x14ac:dyDescent="0.2">
      <c r="B6" s="46" t="s">
        <v>13</v>
      </c>
      <c r="C6" s="47" t="s">
        <v>14</v>
      </c>
      <c r="D6" s="14" t="s">
        <v>15</v>
      </c>
      <c r="E6" s="15">
        <f>SUM(F6:J6)</f>
        <v>2700</v>
      </c>
      <c r="F6" s="41">
        <v>2700</v>
      </c>
      <c r="G6" s="15"/>
      <c r="H6" s="15"/>
      <c r="I6" s="16"/>
      <c r="J6" s="16"/>
      <c r="K6" s="16">
        <f t="shared" ref="K6:K21" si="0">SUM(F6:J6)</f>
        <v>2700</v>
      </c>
      <c r="L6" s="48">
        <f>'[2]Data Sheet'!L2*'[2]Data Sheet'!I11</f>
        <v>15.523199999999999</v>
      </c>
      <c r="M6" s="51">
        <v>1</v>
      </c>
      <c r="N6" s="51">
        <v>2</v>
      </c>
      <c r="O6" s="51">
        <v>3</v>
      </c>
      <c r="P6" s="51">
        <f>'[2]Data Sheet'!$L$2*'[2]Data Sheet'!G11</f>
        <v>0</v>
      </c>
      <c r="Q6" s="51">
        <f>'[2]Data Sheet'!$L$2*'[2]Data Sheet'!H11</f>
        <v>0</v>
      </c>
      <c r="R6" s="64">
        <f>SUM(M6:Q13)</f>
        <v>6</v>
      </c>
      <c r="S6" s="67">
        <f>SUM(T6:X13)</f>
        <v>25000</v>
      </c>
      <c r="T6" s="42">
        <v>5000</v>
      </c>
      <c r="U6" s="42">
        <v>10000</v>
      </c>
      <c r="V6" s="42">
        <v>10000</v>
      </c>
      <c r="W6" s="56">
        <f>P6*'[2]Data Sheet'!$D$15*'[2]Data Sheet'!$D$14*W2</f>
        <v>0</v>
      </c>
      <c r="X6" s="56">
        <f>Q6*'[2]Data Sheet'!$D$15*'[2]Data Sheet'!$D$14*X2</f>
        <v>0</v>
      </c>
    </row>
    <row r="7" spans="2:24" x14ac:dyDescent="0.2">
      <c r="B7" s="46"/>
      <c r="C7" s="47"/>
      <c r="D7" s="14" t="s">
        <v>16</v>
      </c>
      <c r="E7" s="15">
        <f t="shared" ref="E7:E19" si="1">SUM(F7:J7)</f>
        <v>0</v>
      </c>
      <c r="F7" s="15"/>
      <c r="G7" s="15"/>
      <c r="H7" s="15"/>
      <c r="I7" s="16"/>
      <c r="J7" s="16"/>
      <c r="K7" s="16">
        <f t="shared" si="0"/>
        <v>0</v>
      </c>
      <c r="L7" s="49"/>
      <c r="M7" s="52"/>
      <c r="N7" s="52"/>
      <c r="O7" s="52"/>
      <c r="P7" s="52"/>
      <c r="Q7" s="52"/>
      <c r="R7" s="65"/>
      <c r="S7" s="68"/>
      <c r="T7" s="43"/>
      <c r="U7" s="43"/>
      <c r="V7" s="43"/>
      <c r="W7" s="57"/>
      <c r="X7" s="57"/>
    </row>
    <row r="8" spans="2:24" x14ac:dyDescent="0.2">
      <c r="B8" s="46"/>
      <c r="C8" s="47"/>
      <c r="D8" s="17" t="s">
        <v>17</v>
      </c>
      <c r="E8" s="15">
        <f>SUM(F8:J8)</f>
        <v>2000</v>
      </c>
      <c r="F8" s="15">
        <v>2000</v>
      </c>
      <c r="G8" s="15"/>
      <c r="H8" s="15"/>
      <c r="I8" s="16"/>
      <c r="J8" s="16"/>
      <c r="K8" s="16">
        <f>SUM(F8:J8)</f>
        <v>2000</v>
      </c>
      <c r="L8" s="49"/>
      <c r="M8" s="52"/>
      <c r="N8" s="52"/>
      <c r="O8" s="52"/>
      <c r="P8" s="52"/>
      <c r="Q8" s="52"/>
      <c r="R8" s="65"/>
      <c r="S8" s="68"/>
      <c r="T8" s="43"/>
      <c r="U8" s="43"/>
      <c r="V8" s="43"/>
      <c r="W8" s="57"/>
      <c r="X8" s="57"/>
    </row>
    <row r="9" spans="2:24" x14ac:dyDescent="0.2">
      <c r="B9" s="46"/>
      <c r="C9" s="47"/>
      <c r="D9" s="17" t="s">
        <v>18</v>
      </c>
      <c r="E9" s="15">
        <f t="shared" si="1"/>
        <v>8400</v>
      </c>
      <c r="F9" s="15">
        <v>3000</v>
      </c>
      <c r="G9" s="15">
        <v>2700</v>
      </c>
      <c r="H9" s="15">
        <v>2700</v>
      </c>
      <c r="J9" s="16"/>
      <c r="K9" s="16">
        <f t="shared" si="0"/>
        <v>8400</v>
      </c>
      <c r="L9" s="49"/>
      <c r="M9" s="52"/>
      <c r="N9" s="52"/>
      <c r="O9" s="52"/>
      <c r="P9" s="52"/>
      <c r="Q9" s="52"/>
      <c r="R9" s="65"/>
      <c r="S9" s="68"/>
      <c r="T9" s="43"/>
      <c r="U9" s="43"/>
      <c r="V9" s="43"/>
      <c r="W9" s="57"/>
      <c r="X9" s="57"/>
    </row>
    <row r="10" spans="2:24" x14ac:dyDescent="0.2">
      <c r="B10" s="46"/>
      <c r="C10" s="47"/>
      <c r="D10" s="17" t="s">
        <v>19</v>
      </c>
      <c r="E10" s="15">
        <f t="shared" si="1"/>
        <v>4700</v>
      </c>
      <c r="F10" s="15">
        <v>4000</v>
      </c>
      <c r="G10" s="15">
        <v>500</v>
      </c>
      <c r="H10" s="15">
        <v>200</v>
      </c>
      <c r="I10" s="16"/>
      <c r="J10" s="16"/>
      <c r="K10" s="16">
        <f t="shared" si="0"/>
        <v>4700</v>
      </c>
      <c r="L10" s="49"/>
      <c r="M10" s="52"/>
      <c r="N10" s="52"/>
      <c r="O10" s="52"/>
      <c r="P10" s="52"/>
      <c r="Q10" s="52"/>
      <c r="R10" s="65"/>
      <c r="S10" s="68"/>
      <c r="T10" s="43"/>
      <c r="U10" s="43"/>
      <c r="V10" s="43"/>
      <c r="W10" s="57"/>
      <c r="X10" s="57"/>
    </row>
    <row r="11" spans="2:24" x14ac:dyDescent="0.2">
      <c r="B11" s="46"/>
      <c r="C11" s="47"/>
      <c r="D11" s="14" t="s">
        <v>20</v>
      </c>
      <c r="E11" s="15">
        <f t="shared" si="1"/>
        <v>1222</v>
      </c>
      <c r="F11" s="15">
        <v>1000</v>
      </c>
      <c r="G11" s="15">
        <v>111</v>
      </c>
      <c r="H11" s="15">
        <v>111</v>
      </c>
      <c r="I11" s="16"/>
      <c r="J11" s="16"/>
      <c r="K11" s="16">
        <f t="shared" si="0"/>
        <v>1222</v>
      </c>
      <c r="L11" s="49"/>
      <c r="M11" s="52"/>
      <c r="N11" s="52"/>
      <c r="O11" s="52"/>
      <c r="P11" s="52"/>
      <c r="Q11" s="52"/>
      <c r="R11" s="65"/>
      <c r="S11" s="68"/>
      <c r="T11" s="43"/>
      <c r="U11" s="43"/>
      <c r="V11" s="43"/>
      <c r="W11" s="57"/>
      <c r="X11" s="57"/>
    </row>
    <row r="12" spans="2:24" x14ac:dyDescent="0.2">
      <c r="B12" s="46"/>
      <c r="C12" s="47"/>
      <c r="D12" s="14" t="s">
        <v>21</v>
      </c>
      <c r="E12" s="15">
        <f t="shared" si="1"/>
        <v>3444</v>
      </c>
      <c r="F12" s="15">
        <v>3000</v>
      </c>
      <c r="G12" s="15">
        <v>222</v>
      </c>
      <c r="H12" s="15">
        <v>222</v>
      </c>
      <c r="I12" s="16"/>
      <c r="J12" s="16"/>
      <c r="K12" s="16">
        <f t="shared" si="0"/>
        <v>3444</v>
      </c>
      <c r="L12" s="49"/>
      <c r="M12" s="52"/>
      <c r="N12" s="52"/>
      <c r="O12" s="52"/>
      <c r="P12" s="52"/>
      <c r="Q12" s="52"/>
      <c r="R12" s="65"/>
      <c r="S12" s="68"/>
      <c r="T12" s="43"/>
      <c r="U12" s="43"/>
      <c r="V12" s="43"/>
      <c r="W12" s="57"/>
      <c r="X12" s="57"/>
    </row>
    <row r="13" spans="2:24" x14ac:dyDescent="0.2">
      <c r="B13" s="46"/>
      <c r="C13" s="47"/>
      <c r="D13" s="14" t="s">
        <v>22</v>
      </c>
      <c r="E13" s="15">
        <f t="shared" si="1"/>
        <v>5888</v>
      </c>
      <c r="F13" s="15">
        <v>5000</v>
      </c>
      <c r="G13" s="15">
        <v>444</v>
      </c>
      <c r="H13" s="15">
        <v>444</v>
      </c>
      <c r="I13" s="16"/>
      <c r="J13" s="16"/>
      <c r="K13" s="16">
        <f t="shared" si="0"/>
        <v>5888</v>
      </c>
      <c r="L13" s="50"/>
      <c r="M13" s="53"/>
      <c r="N13" s="53"/>
      <c r="O13" s="53"/>
      <c r="P13" s="53"/>
      <c r="Q13" s="53"/>
      <c r="R13" s="66"/>
      <c r="S13" s="69"/>
      <c r="T13" s="44"/>
      <c r="U13" s="44"/>
      <c r="V13" s="44"/>
      <c r="W13" s="58"/>
      <c r="X13" s="58"/>
    </row>
    <row r="14" spans="2:24" x14ac:dyDescent="0.2">
      <c r="B14" s="46"/>
      <c r="C14" s="47" t="s">
        <v>23</v>
      </c>
      <c r="D14" s="14" t="s">
        <v>24</v>
      </c>
      <c r="E14" s="15">
        <f>SUM(F14:J14)</f>
        <v>0</v>
      </c>
      <c r="F14" s="15"/>
      <c r="G14" s="15"/>
      <c r="H14" s="15"/>
      <c r="I14" s="16"/>
      <c r="J14" s="16"/>
      <c r="K14" s="16">
        <f t="shared" si="0"/>
        <v>0</v>
      </c>
      <c r="L14" s="18">
        <f>'[2]Data Sheet'!I10</f>
        <v>5.9399999999999995</v>
      </c>
      <c r="M14" s="19">
        <v>1</v>
      </c>
      <c r="N14" s="19">
        <v>1</v>
      </c>
      <c r="O14" s="19">
        <v>1</v>
      </c>
      <c r="P14" s="19">
        <f>'[2]Data Sheet'!G10</f>
        <v>0</v>
      </c>
      <c r="Q14" s="19">
        <f>'[2]Data Sheet'!H10</f>
        <v>0</v>
      </c>
      <c r="R14" s="19">
        <f>SUM(M14:Q14)</f>
        <v>3</v>
      </c>
      <c r="S14" s="20">
        <f>SUM(T14:X14)</f>
        <v>15600</v>
      </c>
      <c r="T14" s="21">
        <v>5000</v>
      </c>
      <c r="U14" s="21">
        <v>10000</v>
      </c>
      <c r="V14" s="21">
        <v>600</v>
      </c>
      <c r="W14" s="22">
        <f>P14*'[2]Data Sheet'!$D$15*'[2]Data Sheet'!$D$14*W2</f>
        <v>0</v>
      </c>
      <c r="X14" s="22">
        <f>Q14*'[2]Data Sheet'!$D$15*'[2]Data Sheet'!$D$14*X2</f>
        <v>0</v>
      </c>
    </row>
    <row r="15" spans="2:24" x14ac:dyDescent="0.2">
      <c r="B15" s="46"/>
      <c r="C15" s="47"/>
      <c r="D15" s="14" t="s">
        <v>25</v>
      </c>
      <c r="E15" s="15">
        <f t="shared" si="1"/>
        <v>0</v>
      </c>
      <c r="F15" s="15"/>
      <c r="G15" s="15"/>
      <c r="H15" s="15"/>
      <c r="I15" s="16"/>
      <c r="J15" s="16"/>
      <c r="K15" s="16">
        <f t="shared" si="0"/>
        <v>0</v>
      </c>
      <c r="L15" s="23">
        <f>'[2]Data Sheet'!L5*'[2]Data Sheet'!I9</f>
        <v>11.088000000000001</v>
      </c>
      <c r="M15" s="19">
        <v>1</v>
      </c>
      <c r="N15" s="19">
        <v>1</v>
      </c>
      <c r="O15" s="19">
        <v>1</v>
      </c>
      <c r="P15" s="19">
        <f>'[2]Data Sheet'!$L$5*'[2]Data Sheet'!G9</f>
        <v>0</v>
      </c>
      <c r="Q15" s="19">
        <f>'[2]Data Sheet'!$L$5*'[2]Data Sheet'!H9</f>
        <v>0</v>
      </c>
      <c r="R15" s="19">
        <f>SUM(M15:Q15)</f>
        <v>3</v>
      </c>
      <c r="S15" s="20">
        <f>SUM(T15:X15)</f>
        <v>15600</v>
      </c>
      <c r="T15" s="21">
        <v>5000</v>
      </c>
      <c r="U15" s="21">
        <v>10000</v>
      </c>
      <c r="V15" s="21">
        <v>600</v>
      </c>
      <c r="W15" s="22">
        <f>P15*'[2]Data Sheet'!$D$15*'[2]Data Sheet'!$D$14*W2</f>
        <v>0</v>
      </c>
      <c r="X15" s="22">
        <f>Q15*'[2]Data Sheet'!$D$15*'[2]Data Sheet'!$D$14*X2</f>
        <v>0</v>
      </c>
    </row>
    <row r="16" spans="2:24" x14ac:dyDescent="0.2">
      <c r="B16" s="46"/>
      <c r="C16" s="59" t="s">
        <v>26</v>
      </c>
      <c r="D16" s="14" t="s">
        <v>27</v>
      </c>
      <c r="E16" s="15">
        <f t="shared" si="1"/>
        <v>11000</v>
      </c>
      <c r="F16" s="15">
        <v>1000</v>
      </c>
      <c r="G16" s="15">
        <v>5000</v>
      </c>
      <c r="H16" s="15">
        <v>5000</v>
      </c>
      <c r="I16" s="16"/>
      <c r="J16" s="16"/>
      <c r="K16" s="16">
        <f t="shared" si="0"/>
        <v>11000</v>
      </c>
      <c r="L16" s="60">
        <f>'[2]Data Sheet'!I9-ROI!L15</f>
        <v>2.7720000000000002</v>
      </c>
      <c r="M16" s="62">
        <v>2</v>
      </c>
      <c r="N16" s="62">
        <v>1</v>
      </c>
      <c r="O16" s="62">
        <v>1</v>
      </c>
      <c r="P16" s="62">
        <f>'[2]Data Sheet'!G9-ROI!P15</f>
        <v>0</v>
      </c>
      <c r="Q16" s="62">
        <f>'[2]Data Sheet'!H9-ROI!Q15</f>
        <v>0</v>
      </c>
      <c r="R16" s="62">
        <f>SUM(M16:Q17)</f>
        <v>4</v>
      </c>
      <c r="S16" s="74">
        <f>SUM(T16:X17)</f>
        <v>10200</v>
      </c>
      <c r="T16" s="76">
        <v>3000</v>
      </c>
      <c r="U16" s="76">
        <v>6000</v>
      </c>
      <c r="V16" s="76">
        <v>1200</v>
      </c>
      <c r="W16" s="54">
        <f>P16*'[2]Data Sheet'!$D$15*'[2]Data Sheet'!$D$14*W2</f>
        <v>0</v>
      </c>
      <c r="X16" s="54">
        <f>Q16*'[2]Data Sheet'!$D$15*'[2]Data Sheet'!$D$14*X2</f>
        <v>0</v>
      </c>
    </row>
    <row r="17" spans="2:24" x14ac:dyDescent="0.2">
      <c r="B17" s="46"/>
      <c r="C17" s="59"/>
      <c r="D17" s="14" t="s">
        <v>28</v>
      </c>
      <c r="E17" s="15">
        <f t="shared" si="1"/>
        <v>5000</v>
      </c>
      <c r="F17" s="15">
        <v>3000</v>
      </c>
      <c r="G17" s="15">
        <v>1000</v>
      </c>
      <c r="H17" s="15">
        <v>1000</v>
      </c>
      <c r="I17" s="16"/>
      <c r="J17" s="16"/>
      <c r="K17" s="16">
        <f t="shared" si="0"/>
        <v>5000</v>
      </c>
      <c r="L17" s="61"/>
      <c r="M17" s="63"/>
      <c r="N17" s="63"/>
      <c r="O17" s="63"/>
      <c r="P17" s="63"/>
      <c r="Q17" s="63"/>
      <c r="R17" s="63"/>
      <c r="S17" s="75"/>
      <c r="T17" s="77"/>
      <c r="U17" s="77"/>
      <c r="V17" s="77"/>
      <c r="W17" s="55"/>
      <c r="X17" s="55"/>
    </row>
    <row r="18" spans="2:24" x14ac:dyDescent="0.2">
      <c r="B18" s="70" t="s">
        <v>29</v>
      </c>
      <c r="C18" s="47" t="s">
        <v>29</v>
      </c>
      <c r="D18" s="14" t="s">
        <v>30</v>
      </c>
      <c r="E18" s="15">
        <f t="shared" si="1"/>
        <v>3011</v>
      </c>
      <c r="F18" s="15">
        <v>11</v>
      </c>
      <c r="G18" s="15">
        <v>3000</v>
      </c>
      <c r="H18" s="15"/>
      <c r="I18" s="16"/>
      <c r="J18" s="16"/>
      <c r="K18" s="16">
        <f t="shared" si="0"/>
        <v>3011</v>
      </c>
      <c r="L18" s="72">
        <f>'[2]Data Sheet'!L3*'[2]Data Sheet'!I11</f>
        <v>0.31680000000000003</v>
      </c>
      <c r="M18" s="62">
        <v>2</v>
      </c>
      <c r="N18" s="62">
        <v>1</v>
      </c>
      <c r="O18" s="62">
        <f>'[2]Data Sheet'!F11-ROI!O6</f>
        <v>-3.0000000000000249E-2</v>
      </c>
      <c r="P18" s="62">
        <f>'[2]Data Sheet'!G11-ROI!P6</f>
        <v>0</v>
      </c>
      <c r="Q18" s="62">
        <f>'[2]Data Sheet'!H11-ROI!Q6</f>
        <v>0</v>
      </c>
      <c r="R18" s="62">
        <f>SUM(M18:Q19)</f>
        <v>2.9699999999999998</v>
      </c>
      <c r="S18" s="74">
        <f>SUM(T18:X19)</f>
        <v>10200</v>
      </c>
      <c r="T18" s="76">
        <v>3000</v>
      </c>
      <c r="U18" s="76">
        <v>6000</v>
      </c>
      <c r="V18" s="76">
        <v>1200</v>
      </c>
      <c r="W18" s="54">
        <f>P18*'[2]Data Sheet'!$D$15*'[2]Data Sheet'!$D$14*W2</f>
        <v>0</v>
      </c>
      <c r="X18" s="54">
        <f>Q18*'[2]Data Sheet'!$D$15*'[2]Data Sheet'!$D$14*X2</f>
        <v>0</v>
      </c>
    </row>
    <row r="19" spans="2:24" x14ac:dyDescent="0.2">
      <c r="B19" s="71"/>
      <c r="C19" s="47"/>
      <c r="D19" s="14" t="s">
        <v>31</v>
      </c>
      <c r="E19" s="15">
        <f t="shared" si="1"/>
        <v>3600</v>
      </c>
      <c r="F19" s="15">
        <v>3000</v>
      </c>
      <c r="G19" s="15">
        <v>300</v>
      </c>
      <c r="H19" s="15">
        <v>300</v>
      </c>
      <c r="I19" s="16"/>
      <c r="J19" s="16"/>
      <c r="K19" s="16">
        <f t="shared" si="0"/>
        <v>3600</v>
      </c>
      <c r="L19" s="73"/>
      <c r="M19" s="63"/>
      <c r="N19" s="63"/>
      <c r="O19" s="63"/>
      <c r="P19" s="63"/>
      <c r="Q19" s="63"/>
      <c r="R19" s="63"/>
      <c r="S19" s="75"/>
      <c r="T19" s="77"/>
      <c r="U19" s="77"/>
      <c r="V19" s="77"/>
      <c r="W19" s="55"/>
      <c r="X19" s="55"/>
    </row>
    <row r="20" spans="2:24" x14ac:dyDescent="0.2">
      <c r="B20" s="24"/>
      <c r="C20" s="25"/>
      <c r="D20" s="14" t="s">
        <v>32</v>
      </c>
      <c r="E20" s="15">
        <f>SUM(F20:J20)</f>
        <v>20000</v>
      </c>
      <c r="F20" s="16">
        <v>10000</v>
      </c>
      <c r="G20" s="16">
        <v>5000</v>
      </c>
      <c r="H20" s="16">
        <v>5000</v>
      </c>
      <c r="I20" s="16"/>
      <c r="J20" s="16"/>
      <c r="K20" s="16">
        <f t="shared" si="0"/>
        <v>20000</v>
      </c>
      <c r="L20" s="26"/>
      <c r="M20" s="27"/>
      <c r="N20" s="27"/>
      <c r="O20" s="19"/>
      <c r="P20" s="19"/>
      <c r="Q20" s="19"/>
      <c r="R20" s="19"/>
      <c r="S20" s="20"/>
      <c r="T20" s="22"/>
      <c r="U20" s="22"/>
      <c r="V20" s="22"/>
      <c r="W20" s="22"/>
      <c r="X20" s="22"/>
    </row>
    <row r="21" spans="2:24" ht="12.5" x14ac:dyDescent="0.3">
      <c r="E21" s="28">
        <f>SUM(E6:E20)</f>
        <v>70965</v>
      </c>
      <c r="F21" s="28">
        <f t="shared" ref="F21:J21" si="2">SUM(F6:F20)</f>
        <v>37711</v>
      </c>
      <c r="G21" s="28">
        <f t="shared" si="2"/>
        <v>18277</v>
      </c>
      <c r="H21" s="28">
        <f t="shared" si="2"/>
        <v>14977</v>
      </c>
      <c r="I21" s="28">
        <f t="shared" si="2"/>
        <v>0</v>
      </c>
      <c r="J21" s="28">
        <f t="shared" si="2"/>
        <v>0</v>
      </c>
      <c r="K21" s="29">
        <f t="shared" si="0"/>
        <v>70965</v>
      </c>
      <c r="L21" s="30">
        <f t="shared" ref="L21:X21" si="3">SUM(L6:L19)</f>
        <v>35.64</v>
      </c>
      <c r="M21" s="31">
        <f t="shared" si="3"/>
        <v>7</v>
      </c>
      <c r="N21" s="31">
        <f t="shared" si="3"/>
        <v>6</v>
      </c>
      <c r="O21" s="31">
        <f t="shared" si="3"/>
        <v>5.97</v>
      </c>
      <c r="P21" s="31">
        <f t="shared" si="3"/>
        <v>0</v>
      </c>
      <c r="Q21" s="31">
        <f t="shared" si="3"/>
        <v>0</v>
      </c>
      <c r="R21" s="31">
        <f t="shared" si="3"/>
        <v>18.97</v>
      </c>
      <c r="S21" s="32">
        <f t="shared" si="3"/>
        <v>76600</v>
      </c>
      <c r="T21" s="22">
        <f t="shared" si="3"/>
        <v>21000</v>
      </c>
      <c r="U21" s="22">
        <f t="shared" si="3"/>
        <v>42000</v>
      </c>
      <c r="V21" s="22">
        <f t="shared" si="3"/>
        <v>13600</v>
      </c>
      <c r="W21" s="22">
        <f t="shared" si="3"/>
        <v>0</v>
      </c>
      <c r="X21" s="22">
        <f t="shared" si="3"/>
        <v>0</v>
      </c>
    </row>
    <row r="22" spans="2:24" x14ac:dyDescent="0.2"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  <c r="W22" s="34"/>
      <c r="X22" s="34"/>
    </row>
    <row r="23" spans="2:24" x14ac:dyDescent="0.2">
      <c r="D23" s="8" t="s">
        <v>33</v>
      </c>
      <c r="E23" s="35">
        <f>E21</f>
        <v>70965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4"/>
      <c r="W23" s="34">
        <v>0</v>
      </c>
      <c r="X23" s="34"/>
    </row>
    <row r="24" spans="2:24" x14ac:dyDescent="0.2">
      <c r="D24" s="8" t="s">
        <v>34</v>
      </c>
      <c r="E24" s="35">
        <f>S21</f>
        <v>76600</v>
      </c>
      <c r="L24" s="33"/>
      <c r="M24" s="33"/>
      <c r="N24" s="33"/>
      <c r="O24" s="33"/>
      <c r="P24" s="33"/>
      <c r="Q24" s="33"/>
      <c r="R24" s="33"/>
      <c r="S24" s="33"/>
      <c r="W24" s="34"/>
      <c r="X24" s="34"/>
    </row>
    <row r="25" spans="2:24" x14ac:dyDescent="0.2">
      <c r="D25" s="8" t="s">
        <v>35</v>
      </c>
      <c r="E25" s="36">
        <f>E24-E23</f>
        <v>5635</v>
      </c>
      <c r="F25" s="37"/>
      <c r="G25" s="37"/>
      <c r="H25" s="37"/>
      <c r="I25" s="37"/>
      <c r="J25" s="37"/>
      <c r="K25" s="37"/>
    </row>
    <row r="26" spans="2:24" ht="12.5" x14ac:dyDescent="0.3">
      <c r="D26" s="38" t="s">
        <v>36</v>
      </c>
      <c r="E26" s="39">
        <f>E24/E23</f>
        <v>1.0794053406608892</v>
      </c>
      <c r="F26" s="37"/>
      <c r="G26" s="37"/>
      <c r="H26" s="37"/>
      <c r="I26" s="37"/>
      <c r="J26" s="37"/>
      <c r="K26" s="37"/>
    </row>
    <row r="28" spans="2:24" x14ac:dyDescent="0.2">
      <c r="F28" s="40"/>
    </row>
  </sheetData>
  <mergeCells count="48">
    <mergeCell ref="W18:W19"/>
    <mergeCell ref="V16:V17"/>
    <mergeCell ref="S18:S19"/>
    <mergeCell ref="T18:T19"/>
    <mergeCell ref="U18:U19"/>
    <mergeCell ref="V18:V19"/>
    <mergeCell ref="U6:U13"/>
    <mergeCell ref="X18:X19"/>
    <mergeCell ref="X16:X17"/>
    <mergeCell ref="B18:B19"/>
    <mergeCell ref="C18:C19"/>
    <mergeCell ref="L18:L19"/>
    <mergeCell ref="M18:M19"/>
    <mergeCell ref="N18:N19"/>
    <mergeCell ref="O18:O19"/>
    <mergeCell ref="P18:P19"/>
    <mergeCell ref="Q18:Q19"/>
    <mergeCell ref="R18:R19"/>
    <mergeCell ref="R16:R17"/>
    <mergeCell ref="S16:S17"/>
    <mergeCell ref="T16:T17"/>
    <mergeCell ref="U16:U17"/>
    <mergeCell ref="Q16:Q17"/>
    <mergeCell ref="Q6:Q13"/>
    <mergeCell ref="R6:R13"/>
    <mergeCell ref="S6:S13"/>
    <mergeCell ref="T6:T13"/>
    <mergeCell ref="L16:L17"/>
    <mergeCell ref="M16:M17"/>
    <mergeCell ref="N16:N17"/>
    <mergeCell ref="O16:O17"/>
    <mergeCell ref="P16:P17"/>
    <mergeCell ref="V6:V13"/>
    <mergeCell ref="E4:K4"/>
    <mergeCell ref="L4:R4"/>
    <mergeCell ref="S4:X4"/>
    <mergeCell ref="B6:B17"/>
    <mergeCell ref="C6:C13"/>
    <mergeCell ref="L6:L13"/>
    <mergeCell ref="M6:M13"/>
    <mergeCell ref="N6:N13"/>
    <mergeCell ref="O6:O13"/>
    <mergeCell ref="P6:P13"/>
    <mergeCell ref="W16:W17"/>
    <mergeCell ref="W6:W13"/>
    <mergeCell ref="X6:X13"/>
    <mergeCell ref="C14:C15"/>
    <mergeCell ref="C16:C17"/>
  </mergeCells>
  <conditionalFormatting sqref="K2">
    <cfRule type="cellIs" dxfId="3" priority="3" operator="notEqual">
      <formula>1</formula>
    </cfRule>
    <cfRule type="cellIs" dxfId="2" priority="4" operator="equal">
      <formula>1</formula>
    </cfRule>
  </conditionalFormatting>
  <conditionalFormatting sqref="K6:K21">
    <cfRule type="expression" dxfId="1" priority="1">
      <formula>IF(E6&lt;&gt;K6,1,0)</formula>
    </cfRule>
    <cfRule type="expression" dxfId="0" priority="2">
      <formula>IF(E6=K6,1,0)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666750</xdr:colOff>
                <xdr:row>23</xdr:row>
                <xdr:rowOff>12700</xdr:rowOff>
              </from>
              <to>
                <xdr:col>7</xdr:col>
                <xdr:colOff>298450</xdr:colOff>
                <xdr:row>25</xdr:row>
                <xdr:rowOff>6350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2" sqref="B2"/>
    </sheetView>
  </sheetViews>
  <sheetFormatPr defaultRowHeight="14.5" x14ac:dyDescent="0.35"/>
  <cols>
    <col min="1" max="1" width="16.1796875" bestFit="1" customWidth="1"/>
    <col min="2" max="2" width="88.6328125" bestFit="1" customWidth="1"/>
  </cols>
  <sheetData>
    <row r="1" spans="1:2" x14ac:dyDescent="0.35">
      <c r="A1" t="s">
        <v>37</v>
      </c>
      <c r="B1" t="s">
        <v>39</v>
      </c>
    </row>
    <row r="2" spans="1:2" x14ac:dyDescent="0.35">
      <c r="A2" t="s">
        <v>38</v>
      </c>
      <c r="B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A7D72BCEF13443B1D030876CE15748" ma:contentTypeVersion="13" ma:contentTypeDescription="Create a new document." ma:contentTypeScope="" ma:versionID="3aa6ef8b39e282a94ff434f8dabb15b9">
  <xsd:schema xmlns:xsd="http://www.w3.org/2001/XMLSchema" xmlns:xs="http://www.w3.org/2001/XMLSchema" xmlns:p="http://schemas.microsoft.com/office/2006/metadata/properties" xmlns:ns3="9225dabc-eb31-41d6-9162-98b63b93d3b5" xmlns:ns4="130e86d5-a649-42b6-85cf-22ca14404062" targetNamespace="http://schemas.microsoft.com/office/2006/metadata/properties" ma:root="true" ma:fieldsID="f44b21e20a1dee4b731f4b06f142cf34" ns3:_="" ns4:_="">
    <xsd:import namespace="9225dabc-eb31-41d6-9162-98b63b93d3b5"/>
    <xsd:import namespace="130e86d5-a649-42b6-85cf-22ca14404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25dabc-eb31-41d6-9162-98b63b93d3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e86d5-a649-42b6-85cf-22ca14404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E5B517-CF9C-4669-99AF-58F20E47B31A}">
  <ds:schemaRefs>
    <ds:schemaRef ds:uri="9225dabc-eb31-41d6-9162-98b63b93d3b5"/>
    <ds:schemaRef ds:uri="130e86d5-a649-42b6-85cf-22ca14404062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60B4133-5DAC-4FE3-B14C-C334E86F3D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25dabc-eb31-41d6-9162-98b63b93d3b5"/>
    <ds:schemaRef ds:uri="130e86d5-a649-42b6-85cf-22ca14404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B11109-174F-4DEC-B7E1-9DBB048307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ROI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Dalwala, Vipul</dc:creator>
  <cp:lastModifiedBy>Mukka, Shravani</cp:lastModifiedBy>
  <dcterms:created xsi:type="dcterms:W3CDTF">2022-01-11T04:34:34Z</dcterms:created>
  <dcterms:modified xsi:type="dcterms:W3CDTF">2022-03-03T08:13:19Z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0x01010043A7D72BCEF13443B1D030876CE15748</vt:lpwstr>
  </property>
</Properties>
</file>